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mhnnic004_myuct_ac_za/Documents/Mechatronics/EEE4113F/MongoDBApp/mongo-esp-api/"/>
    </mc:Choice>
  </mc:AlternateContent>
  <xr:revisionPtr revIDLastSave="0" documentId="8_{E30EDE47-A36B-4727-9C2D-4EFF40E03F64}" xr6:coauthVersionLast="47" xr6:coauthVersionMax="47" xr10:uidLastSave="{00000000-0000-0000-0000-000000000000}"/>
  <bookViews>
    <workbookView xWindow="2340" yWindow="2340" windowWidth="28800" windowHeight="15345" xr2:uid="{06C3A290-3913-6E4C-9AC1-DDE71227DBD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4" i="1"/>
  <c r="H5" i="1"/>
  <c r="H2" i="1"/>
  <c r="H6" i="1"/>
  <c r="H7" i="1"/>
  <c r="H8" i="1"/>
  <c r="H9" i="1"/>
  <c r="H10" i="1"/>
  <c r="H25" i="1"/>
  <c r="G3" i="1"/>
  <c r="H3" i="1" s="1"/>
  <c r="H16" i="1" l="1"/>
</calcChain>
</file>

<file path=xl/sharedStrings.xml><?xml version="1.0" encoding="utf-8"?>
<sst xmlns="http://schemas.openxmlformats.org/spreadsheetml/2006/main" count="57" uniqueCount="49">
  <si>
    <t>Item</t>
  </si>
  <si>
    <t>Description</t>
  </si>
  <si>
    <t>Store</t>
  </si>
  <si>
    <t>Link</t>
  </si>
  <si>
    <t xml:space="preserve">quantity </t>
  </si>
  <si>
    <t>Unit price</t>
  </si>
  <si>
    <t>Price</t>
  </si>
  <si>
    <t>Comments</t>
  </si>
  <si>
    <t>RFID Reader</t>
  </si>
  <si>
    <t>RFID 13.56MHz Board + tag</t>
  </si>
  <si>
    <t>Micro Robotics</t>
  </si>
  <si>
    <t>https://www.robotics.org.za/RC522-MOD-1356</t>
  </si>
  <si>
    <t>Load Cell Sensor</t>
  </si>
  <si>
    <t>5kg Parallel Beam Load Cell Sensor</t>
  </si>
  <si>
    <t>DIY Electronics</t>
  </si>
  <si>
    <t>https://www.diyelectronics.co.za/store/load-cells/628-load-cell-sensor-5kg-parallel-beam.html</t>
  </si>
  <si>
    <t>Load Cell interface</t>
  </si>
  <si>
    <t>HX711 Load Cell Sensor Interface Module</t>
  </si>
  <si>
    <t>https://www.diyelectronics.co.za/store/load-cells/626-hx711-load-cell-sensor-interface-module.html</t>
  </si>
  <si>
    <t>Just chose cheap available one</t>
  </si>
  <si>
    <t>Load cell combinator</t>
  </si>
  <si>
    <t>Load Cells Combinator</t>
  </si>
  <si>
    <t>https://www.robotics.org.za/BOB-13878</t>
  </si>
  <si>
    <t>Temperature sensor</t>
  </si>
  <si>
    <t>Humidity &amp; Temperature sensor for stress analysis</t>
  </si>
  <si>
    <t>https://www.diyelectronics.co.za/store/humidity/4210-shtc3-temperature-humidity-sensor-module.html</t>
  </si>
  <si>
    <t>IR Temperature sensor</t>
  </si>
  <si>
    <t>Non-Contact Temperature Sensor utilises IR light to accurately and rapidly measure temperatures without requiring any direct contact</t>
  </si>
  <si>
    <t>https://www.diyelectronics.co.za/store/temperature/2066-i2c-non-contact-temperature-sensor.html?srsltid=AfmBOoov3BhGSuz2wRza5o1m3ZzTk5FhFozwH9oTPBXiZsRSIzXiSgMy</t>
  </si>
  <si>
    <t>ESp32 Cam</t>
  </si>
  <si>
    <t>Camera module with EP32 Dev board</t>
  </si>
  <si>
    <t>https://www.diyelectronics.co.za/store/iot/2317-esp32-cam-wifi-bluetooth-camera-development-board.html</t>
  </si>
  <si>
    <t>ESP 32</t>
  </si>
  <si>
    <t xml:space="preserve">ESP32 Dev Board with Wifi-Bluetooth </t>
  </si>
  <si>
    <t>https://www.diyelectronics.co.za/store/iot/4445-nodemcu-32s-esp32-wifi-ble-development-board.html</t>
  </si>
  <si>
    <t>Changed store to DIY, cheaper</t>
  </si>
  <si>
    <t>Power Regulator</t>
  </si>
  <si>
    <t>To convert the 12 V power supply to 5 V for the ESP32  to handle</t>
  </si>
  <si>
    <t>https://www.diyelectronics.co.za/store/switch-mode-modules/1446-lm2596-dc-4540v-to-1537v-adjustable-step-down-buck-module-with-display.html</t>
  </si>
  <si>
    <t>Cheap one from DIY electronics chosen</t>
  </si>
  <si>
    <t>Budget</t>
  </si>
  <si>
    <t>Remaining</t>
  </si>
  <si>
    <t>Ordered</t>
  </si>
  <si>
    <t>Ready to order</t>
  </si>
  <si>
    <t>Problem</t>
  </si>
  <si>
    <t>Removed</t>
  </si>
  <si>
    <t xml:space="preserve">NFC RFID </t>
  </si>
  <si>
    <t>RFID Reader Utilised in mass collection for penguin identification</t>
  </si>
  <si>
    <t>https://www.robotics.org.za/RC522-MOD-1356B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</si>
</sst>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&quot;#,##0.00;[Red]\-&quot;R&quot;#,##0.00"/>
    <numFmt numFmtId="164" formatCode="&quot;R&quot;#,##0.00_);[Red]\(&quot;R&quot;#,##0.00\)"/>
    <numFmt numFmtId="165" formatCode="&quot;R&quot;#,##0.00"/>
    <numFmt numFmtId="166" formatCode="&quot;R&quot;#,##0.00;[Red]&quot;R&quot;#,##0.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wrapText="1" shrinkToFit="1"/>
    </xf>
    <xf numFmtId="165" fontId="0" fillId="0" borderId="0" xfId="0" applyNumberFormat="1"/>
    <xf numFmtId="0" fontId="3" fillId="0" borderId="0" xfId="0" applyFont="1"/>
    <xf numFmtId="0" fontId="4" fillId="0" borderId="0" xfId="0" applyFont="1"/>
    <xf numFmtId="8" fontId="4" fillId="0" borderId="0" xfId="0" applyNumberFormat="1" applyFont="1"/>
    <xf numFmtId="165" fontId="4" fillId="0" borderId="0" xfId="0" applyNumberFormat="1" applyFont="1"/>
    <xf numFmtId="0" fontId="0" fillId="2" borderId="0" xfId="0" applyFill="1"/>
    <xf numFmtId="0" fontId="2" fillId="0" borderId="0" xfId="1" applyNumberFormat="1"/>
    <xf numFmtId="0" fontId="4" fillId="3" borderId="0" xfId="0" applyFont="1" applyFill="1"/>
    <xf numFmtId="0" fontId="0" fillId="4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2" fillId="0" borderId="0" xfId="1" applyAlignment="1">
      <alignment wrapText="1"/>
    </xf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yelectronics.co.za/store/iot/4445-nodemcu-32s-esp32-wifi-ble-development-board.html" TargetMode="External"/><Relationship Id="rId2" Type="http://schemas.openxmlformats.org/officeDocument/2006/relationships/hyperlink" Target="https://www.diyelectronics.co.za/store/iot/2317-esp32-cam-wifi-bluetooth-camera-development-board.html" TargetMode="External"/><Relationship Id="rId1" Type="http://schemas.openxmlformats.org/officeDocument/2006/relationships/hyperlink" Target="https://www.diyelectronics.co.za/store/switch-mode-modules/1446-lm2596-dc-4540v-to-1537v-adjustable-step-down-buck-module-with-display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E81D-7533-C740-91F3-D59AB6FCCBA1}">
  <dimension ref="A1:I25"/>
  <sheetViews>
    <sheetView tabSelected="1" workbookViewId="0">
      <selection activeCell="E19" sqref="E19"/>
    </sheetView>
  </sheetViews>
  <sheetFormatPr defaultColWidth="11" defaultRowHeight="15.75" x14ac:dyDescent="0.25"/>
  <cols>
    <col min="1" max="1" width="4.25" customWidth="1"/>
    <col min="2" max="2" width="19.375" bestFit="1" customWidth="1"/>
    <col min="3" max="3" width="59.375" customWidth="1"/>
    <col min="4" max="4" width="13.375" bestFit="1" customWidth="1"/>
    <col min="5" max="5" width="125.125" bestFit="1" customWidth="1"/>
    <col min="6" max="6" width="13.375" bestFit="1" customWidth="1"/>
    <col min="7" max="7" width="14.75" customWidth="1"/>
    <col min="9" max="9" width="41.625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6" t="s">
        <v>7</v>
      </c>
    </row>
    <row r="2" spans="1:9" x14ac:dyDescent="0.25">
      <c r="A2" s="12"/>
      <c r="B2" s="7" t="s">
        <v>8</v>
      </c>
      <c r="C2" s="7" t="s">
        <v>9</v>
      </c>
      <c r="D2" s="7" t="s">
        <v>10</v>
      </c>
      <c r="E2" s="7" t="s">
        <v>11</v>
      </c>
      <c r="F2" s="7">
        <v>1</v>
      </c>
      <c r="G2" s="8">
        <v>41.4</v>
      </c>
      <c r="H2" s="9">
        <f>G2*F2</f>
        <v>41.4</v>
      </c>
    </row>
    <row r="3" spans="1:9" x14ac:dyDescent="0.25">
      <c r="A3" s="15"/>
      <c r="B3" t="s">
        <v>12</v>
      </c>
      <c r="C3" t="s">
        <v>13</v>
      </c>
      <c r="D3" t="s">
        <v>14</v>
      </c>
      <c r="E3" t="s">
        <v>15</v>
      </c>
      <c r="F3">
        <v>4</v>
      </c>
      <c r="G3" s="8">
        <f>44</f>
        <v>44</v>
      </c>
      <c r="H3" s="5">
        <f t="shared" ref="H3:H10" si="0">G3*F3</f>
        <v>176</v>
      </c>
    </row>
    <row r="4" spans="1:9" x14ac:dyDescent="0.25">
      <c r="A4" s="15"/>
      <c r="B4" t="s">
        <v>16</v>
      </c>
      <c r="C4" t="s">
        <v>17</v>
      </c>
      <c r="D4" t="s">
        <v>14</v>
      </c>
      <c r="E4" t="s">
        <v>18</v>
      </c>
      <c r="F4">
        <v>1</v>
      </c>
      <c r="G4" s="8">
        <v>23</v>
      </c>
      <c r="H4" s="5">
        <f t="shared" si="0"/>
        <v>23</v>
      </c>
      <c r="I4" t="s">
        <v>19</v>
      </c>
    </row>
    <row r="5" spans="1:9" x14ac:dyDescent="0.25">
      <c r="A5" s="15"/>
      <c r="B5" t="s">
        <v>20</v>
      </c>
      <c r="C5" t="s">
        <v>21</v>
      </c>
      <c r="D5" t="s">
        <v>10</v>
      </c>
      <c r="E5" t="s">
        <v>22</v>
      </c>
      <c r="F5">
        <v>1</v>
      </c>
      <c r="G5" s="8">
        <v>56.35</v>
      </c>
      <c r="H5" s="5">
        <f t="shared" si="0"/>
        <v>56.35</v>
      </c>
    </row>
    <row r="6" spans="1:9" x14ac:dyDescent="0.25">
      <c r="A6" s="15"/>
      <c r="B6" t="s">
        <v>23</v>
      </c>
      <c r="C6" t="s">
        <v>24</v>
      </c>
      <c r="D6" t="s">
        <v>14</v>
      </c>
      <c r="E6" t="s">
        <v>25</v>
      </c>
      <c r="F6">
        <v>1</v>
      </c>
      <c r="G6" s="8">
        <v>81.599999999999994</v>
      </c>
      <c r="H6" s="5">
        <f t="shared" si="0"/>
        <v>81.599999999999994</v>
      </c>
    </row>
    <row r="7" spans="1:9" ht="29.25" customHeight="1" x14ac:dyDescent="0.25">
      <c r="A7" s="15"/>
      <c r="B7" t="s">
        <v>26</v>
      </c>
      <c r="C7" s="3" t="s">
        <v>27</v>
      </c>
      <c r="D7" t="s">
        <v>14</v>
      </c>
      <c r="E7" s="4" t="s">
        <v>28</v>
      </c>
      <c r="F7">
        <v>1</v>
      </c>
      <c r="G7" s="8">
        <v>304</v>
      </c>
      <c r="H7" s="5">
        <f t="shared" si="0"/>
        <v>304</v>
      </c>
    </row>
    <row r="8" spans="1:9" ht="21" customHeight="1" x14ac:dyDescent="0.25">
      <c r="A8" s="15"/>
      <c r="B8" t="s">
        <v>29</v>
      </c>
      <c r="C8" t="s">
        <v>30</v>
      </c>
      <c r="D8" t="s">
        <v>14</v>
      </c>
      <c r="E8" s="16" t="s">
        <v>31</v>
      </c>
      <c r="F8">
        <v>1</v>
      </c>
      <c r="G8" s="8">
        <v>182</v>
      </c>
      <c r="H8" s="5">
        <f t="shared" si="0"/>
        <v>182</v>
      </c>
    </row>
    <row r="9" spans="1:9" ht="18" customHeight="1" x14ac:dyDescent="0.25">
      <c r="A9" s="15"/>
      <c r="B9" t="s">
        <v>32</v>
      </c>
      <c r="C9" t="s">
        <v>33</v>
      </c>
      <c r="D9" t="s">
        <v>14</v>
      </c>
      <c r="E9" s="16" t="s">
        <v>34</v>
      </c>
      <c r="F9">
        <v>1</v>
      </c>
      <c r="G9" s="8">
        <v>243</v>
      </c>
      <c r="H9" s="5">
        <f t="shared" si="0"/>
        <v>243</v>
      </c>
      <c r="I9" t="s">
        <v>35</v>
      </c>
    </row>
    <row r="10" spans="1:9" x14ac:dyDescent="0.25">
      <c r="A10" s="15"/>
      <c r="B10" t="s">
        <v>36</v>
      </c>
      <c r="C10" t="s">
        <v>37</v>
      </c>
      <c r="D10" t="s">
        <v>14</v>
      </c>
      <c r="E10" s="11" t="s">
        <v>38</v>
      </c>
      <c r="F10">
        <v>1</v>
      </c>
      <c r="G10" s="8">
        <v>43</v>
      </c>
      <c r="H10" s="5">
        <f t="shared" si="0"/>
        <v>43</v>
      </c>
      <c r="I10" t="s">
        <v>39</v>
      </c>
    </row>
    <row r="12" spans="1:9" x14ac:dyDescent="0.25">
      <c r="H12" s="2">
        <f>SUM(H2:H10)</f>
        <v>1150.3499999999999</v>
      </c>
    </row>
    <row r="15" spans="1:9" x14ac:dyDescent="0.25">
      <c r="G15" t="s">
        <v>40</v>
      </c>
      <c r="H15" s="2">
        <v>1500</v>
      </c>
    </row>
    <row r="16" spans="1:9" x14ac:dyDescent="0.25">
      <c r="G16" t="s">
        <v>41</v>
      </c>
      <c r="H16" s="17">
        <f>H15-H12</f>
        <v>349.65000000000009</v>
      </c>
    </row>
    <row r="20" spans="1:8" x14ac:dyDescent="0.25">
      <c r="A20" s="12"/>
      <c r="B20" s="14" t="s">
        <v>42</v>
      </c>
      <c r="C20" s="7"/>
    </row>
    <row r="21" spans="1:8" x14ac:dyDescent="0.25">
      <c r="A21" s="13"/>
      <c r="B21" s="14" t="s">
        <v>43</v>
      </c>
    </row>
    <row r="22" spans="1:8" x14ac:dyDescent="0.25">
      <c r="A22" s="10"/>
      <c r="B22" s="14" t="s">
        <v>44</v>
      </c>
    </row>
    <row r="24" spans="1:8" x14ac:dyDescent="0.25">
      <c r="B24" s="6" t="s">
        <v>45</v>
      </c>
    </row>
    <row r="25" spans="1:8" x14ac:dyDescent="0.25">
      <c r="B25" t="s">
        <v>46</v>
      </c>
      <c r="C25" t="s">
        <v>47</v>
      </c>
      <c r="D25" t="s">
        <v>10</v>
      </c>
      <c r="E25" t="s">
        <v>48</v>
      </c>
      <c r="F25">
        <v>1</v>
      </c>
      <c r="G25" s="2">
        <v>141.44999999999999</v>
      </c>
      <c r="H25" s="5">
        <f>G25*F25</f>
        <v>141.44999999999999</v>
      </c>
    </row>
  </sheetData>
  <hyperlinks>
    <hyperlink ref="E10" r:id="rId1" xr:uid="{7AFC575E-AB5B-4138-8F8B-5BFC76ED73D8}"/>
    <hyperlink ref="E8" r:id="rId2" xr:uid="{354664EE-1A37-4041-BB24-E45BC51985C1}"/>
    <hyperlink ref="E9" r:id="rId3" xr:uid="{429CED45-21D1-432B-8A4E-7BCA5808401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Fhatani Netshirembe</dc:creator>
  <cp:keywords/>
  <dc:description/>
  <cp:lastModifiedBy>Nicholas Meehan</cp:lastModifiedBy>
  <cp:revision/>
  <dcterms:created xsi:type="dcterms:W3CDTF">2025-04-12T11:30:54Z</dcterms:created>
  <dcterms:modified xsi:type="dcterms:W3CDTF">2025-05-25T18:58:15Z</dcterms:modified>
  <cp:category/>
  <cp:contentStatus/>
</cp:coreProperties>
</file>